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wnloads\ForeverRose\"/>
    </mc:Choice>
  </mc:AlternateContent>
  <xr:revisionPtr revIDLastSave="0" documentId="13_ncr:1_{866CF77F-C526-4B3A-885A-9BCF52DA0E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📦 Inventario" sheetId="1" r:id="rId1"/>
    <sheet name="🛒 Registro de Ventas" sheetId="2" r:id="rId2"/>
    <sheet name="📊 Resumen" sheetId="3" r:id="rId3"/>
    <sheet name="🌺 Familias Olfativ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/>
  <c r="J16" i="1" s="1"/>
  <c r="G11" i="1"/>
  <c r="J11" i="1" s="1"/>
  <c r="G6" i="1"/>
  <c r="G5" i="1"/>
  <c r="G18" i="1"/>
  <c r="J18" i="1" s="1"/>
  <c r="C7" i="3"/>
  <c r="C3" i="3"/>
  <c r="D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5" i="1"/>
  <c r="E25" i="1"/>
  <c r="I24" i="1"/>
  <c r="G24" i="1"/>
  <c r="J24" i="1" s="1"/>
  <c r="I23" i="1"/>
  <c r="G23" i="1"/>
  <c r="J23" i="1" s="1"/>
  <c r="I22" i="1"/>
  <c r="G22" i="1"/>
  <c r="J22" i="1" s="1"/>
  <c r="I21" i="1"/>
  <c r="G21" i="1"/>
  <c r="J21" i="1" s="1"/>
  <c r="I20" i="1"/>
  <c r="G20" i="1"/>
  <c r="J20" i="1" s="1"/>
  <c r="I19" i="1"/>
  <c r="G19" i="1"/>
  <c r="J19" i="1" s="1"/>
  <c r="I18" i="1"/>
  <c r="I17" i="1"/>
  <c r="G17" i="1"/>
  <c r="J17" i="1" s="1"/>
  <c r="I16" i="1"/>
  <c r="I15" i="1"/>
  <c r="G15" i="1"/>
  <c r="J15" i="1" s="1"/>
  <c r="I14" i="1"/>
  <c r="G14" i="1"/>
  <c r="J14" i="1" s="1"/>
  <c r="I13" i="1"/>
  <c r="G13" i="1"/>
  <c r="J13" i="1" s="1"/>
  <c r="I12" i="1"/>
  <c r="G12" i="1"/>
  <c r="J12" i="1" s="1"/>
  <c r="I11" i="1"/>
  <c r="I10" i="1"/>
  <c r="G10" i="1"/>
  <c r="J10" i="1" s="1"/>
  <c r="I9" i="1"/>
  <c r="G9" i="1"/>
  <c r="J9" i="1" s="1"/>
  <c r="I8" i="1"/>
  <c r="G8" i="1"/>
  <c r="J8" i="1" s="1"/>
  <c r="I7" i="1"/>
  <c r="G7" i="1"/>
  <c r="J7" i="1" s="1"/>
  <c r="I6" i="1"/>
  <c r="I5" i="1"/>
  <c r="F54" i="2" l="1"/>
  <c r="C9" i="3"/>
  <c r="C13" i="3"/>
  <c r="J6" i="1"/>
  <c r="C5" i="3"/>
  <c r="C11" i="3"/>
  <c r="J5" i="1"/>
  <c r="G25" i="1"/>
  <c r="I25" i="1"/>
</calcChain>
</file>

<file path=xl/sharedStrings.xml><?xml version="1.0" encoding="utf-8"?>
<sst xmlns="http://schemas.openxmlformats.org/spreadsheetml/2006/main" count="134" uniqueCount="116">
  <si>
    <t>Gestión de Stock · Ventas · Control de Inventario</t>
  </si>
  <si>
    <t>N°</t>
  </si>
  <si>
    <t>NOMBRE DEL PERFUME</t>
  </si>
  <si>
    <t>MARCA / CASA</t>
  </si>
  <si>
    <t>TAMAÑO
(ml)</t>
  </si>
  <si>
    <t>STOCK
INICIAL</t>
  </si>
  <si>
    <t>UNIDADES
VENDIDAS</t>
  </si>
  <si>
    <t>STOCK
DISPONIBLE</t>
  </si>
  <si>
    <t>PRECIO
UNITARIO</t>
  </si>
  <si>
    <t>TOTAL
VENTAS ($)</t>
  </si>
  <si>
    <t>ESTADO</t>
  </si>
  <si>
    <t>NOTAS</t>
  </si>
  <si>
    <t>Aromático Fresco</t>
  </si>
  <si>
    <t>TOTALES</t>
  </si>
  <si>
    <t>🛒  REGISTRO DE VENTAS</t>
  </si>
  <si>
    <t>Registra cada venta individualmente para llevar un historial completo</t>
  </si>
  <si>
    <t>N° VENTA</t>
  </si>
  <si>
    <t>FECHA</t>
  </si>
  <si>
    <t>CANTIDAD
VENDIDA</t>
  </si>
  <si>
    <t>TOTAL
VENTA</t>
  </si>
  <si>
    <t>CLIENTE
(Opcional)</t>
  </si>
  <si>
    <t>TOTAL GENERAL</t>
  </si>
  <si>
    <t>📊  RESUMEN DEL INVENTARIO</t>
  </si>
  <si>
    <t>TOTAL PERFUMES CARGADOS</t>
  </si>
  <si>
    <t>📋 INSTRUCCIONES DE USO</t>
  </si>
  <si>
    <t>1️⃣  Ve a la hoja 📦 Inventario</t>
  </si>
  <si>
    <t>TOTAL UNIDADES EN STOCK</t>
  </si>
  <si>
    <t>2️⃣  Ingresa el nombre del perfume en columna B</t>
  </si>
  <si>
    <t>3️⃣  Completa marca, familia olfativa y tamaño</t>
  </si>
  <si>
    <t>TOTAL UNIDADES VENDIDAS</t>
  </si>
  <si>
    <t>4️⃣  Escribe el stock inicial en columna F (verde)</t>
  </si>
  <si>
    <t>5️⃣  El stock disponible se calcula automáticamente</t>
  </si>
  <si>
    <t>TOTAL INGRESOS</t>
  </si>
  <si>
    <t>6️⃣  Al vender, suma las unidades en columna G</t>
  </si>
  <si>
    <t>7️⃣  Registra cada venta en la hoja 🛒 Ventas</t>
  </si>
  <si>
    <t>PERFUMES SIN STOCK</t>
  </si>
  <si>
    <t>8️⃣  El estado se actualiza solo (✅ ⚠️ ❌)</t>
  </si>
  <si>
    <t>9️⃣  Consulta este resumen para ver totales</t>
  </si>
  <si>
    <t>PERFUMES STOCK BAJO (≤3)</t>
  </si>
  <si>
    <t>🔟  Agrega filas nuevas copiando el formato</t>
  </si>
  <si>
    <t>🌺  GUÍA DE FAMILIAS OLFATIVAS</t>
  </si>
  <si>
    <t>FAMILIA</t>
  </si>
  <si>
    <t>DESCRIPCIÓN</t>
  </si>
  <si>
    <t>EJEMPLOS</t>
  </si>
  <si>
    <t>Floral</t>
  </si>
  <si>
    <t>Dominado por notas de flores</t>
  </si>
  <si>
    <t>Rosa, jazmín, lirio, peonia</t>
  </si>
  <si>
    <t>Oriental</t>
  </si>
  <si>
    <t>Cálido, especiado, amaderado</t>
  </si>
  <si>
    <t>Vainilla, ámbar, sándalo</t>
  </si>
  <si>
    <t>Hierbas frescas y cítricas</t>
  </si>
  <si>
    <t>Lavanda, menta, bergamota</t>
  </si>
  <si>
    <t>Cítrico / Hespéride</t>
  </si>
  <si>
    <t>Notas de frutas cítricas</t>
  </si>
  <si>
    <t>Limón, naranja, pomelo</t>
  </si>
  <si>
    <t>Chypre</t>
  </si>
  <si>
    <t>Musgo de roble, bergamota, labdanum</t>
  </si>
  <si>
    <t>Oakmoss, patchouli</t>
  </si>
  <si>
    <t>Fougère</t>
  </si>
  <si>
    <t>Helecho, lavanda, musgo</t>
  </si>
  <si>
    <t>Clásico masculino</t>
  </si>
  <si>
    <t>Acuático / Marino</t>
  </si>
  <si>
    <t>Frescor del mar y aire limpio</t>
  </si>
  <si>
    <t>Ozónico, algas marinas</t>
  </si>
  <si>
    <t>Amaderado</t>
  </si>
  <si>
    <t>Maderas cálidas y secas</t>
  </si>
  <si>
    <t>Cedro, sándalo, vetiver</t>
  </si>
  <si>
    <t>Gourmand</t>
  </si>
  <si>
    <t>Comestible, dulce, goloso</t>
  </si>
  <si>
    <t>Caramelo, vainilla, chocolate</t>
  </si>
  <si>
    <t>Cuero</t>
  </si>
  <si>
    <t>Notas animales y cuero</t>
  </si>
  <si>
    <t>Cuero, tabaco, alquitrán</t>
  </si>
  <si>
    <t>Verde</t>
  </si>
  <si>
    <t>Hojas, hierba cortada, naturaleza</t>
  </si>
  <si>
    <t>Violeta, galbanum, hierba</t>
  </si>
  <si>
    <t>Frutal</t>
  </si>
  <si>
    <t>Frutas no cítricas</t>
  </si>
  <si>
    <t>Melocotón, frambuesa, ciruela</t>
  </si>
  <si>
    <t>Especiado</t>
  </si>
  <si>
    <t>Especias cálidas o picantes</t>
  </si>
  <si>
    <t>Pimienta, canela, clavo</t>
  </si>
  <si>
    <t>🌸  INVENTARIO DE PERFUMES</t>
  </si>
  <si>
    <t>Femenino Variado</t>
  </si>
  <si>
    <t>30 ml</t>
  </si>
  <si>
    <t>Masculino Variado</t>
  </si>
  <si>
    <t>LOVE colletion</t>
  </si>
  <si>
    <t>Variado Fem y Masc</t>
  </si>
  <si>
    <t>25 ml</t>
  </si>
  <si>
    <t xml:space="preserve">Perfs Tubitos Variado F y M </t>
  </si>
  <si>
    <t>35 ml</t>
  </si>
  <si>
    <t>LATTAFA</t>
  </si>
  <si>
    <t>Mini khamrah</t>
  </si>
  <si>
    <t>9PM</t>
  </si>
  <si>
    <t>AFNAN</t>
  </si>
  <si>
    <t>SMART</t>
  </si>
  <si>
    <t>Zapatitos</t>
  </si>
  <si>
    <t>VARIADO DE MARCA</t>
  </si>
  <si>
    <t>40 ml</t>
  </si>
  <si>
    <t>AVAR</t>
  </si>
  <si>
    <t>Orientic , Lyberti, Scanlover</t>
  </si>
  <si>
    <t>MEMWA</t>
  </si>
  <si>
    <t>Miss, LOVELY, IDEAL</t>
  </si>
  <si>
    <t>Brand Colletion</t>
  </si>
  <si>
    <t xml:space="preserve">Mini Sabah candy </t>
  </si>
  <si>
    <t>beauty brand</t>
  </si>
  <si>
    <t>Mini sabah tradicional</t>
  </si>
  <si>
    <t>Kit ASAD</t>
  </si>
  <si>
    <t>MILAN</t>
  </si>
  <si>
    <t>100 ml</t>
  </si>
  <si>
    <t>Victoria</t>
  </si>
  <si>
    <t>ONLYOU, ARABES</t>
  </si>
  <si>
    <t xml:space="preserve">DELINA mini </t>
  </si>
  <si>
    <t xml:space="preserve">Story </t>
  </si>
  <si>
    <t>75 ml</t>
  </si>
  <si>
    <t>Arabic Colletion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</si>
</sst>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d/mm/yyyy"/>
  </numFmts>
  <fonts count="22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C77DFF"/>
      <name val="Calibri"/>
    </font>
    <font>
      <b/>
      <sz val="10"/>
      <color rgb="FFFFFFFF"/>
      <name val="Calibri"/>
    </font>
    <font>
      <b/>
      <sz val="10"/>
      <color rgb="FF6A0572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1B7A3E"/>
      <name val="Calibri"/>
    </font>
    <font>
      <b/>
      <sz val="10"/>
      <color rgb="FFE65100"/>
      <name val="Calibri"/>
    </font>
    <font>
      <b/>
      <sz val="10"/>
      <color rgb="FF2C1654"/>
      <name val="Calibri"/>
    </font>
    <font>
      <sz val="10"/>
      <color rgb="FF1B7A3E"/>
      <name val="Calibri"/>
    </font>
    <font>
      <sz val="10"/>
      <color rgb="FF555555"/>
      <name val="Calibri"/>
    </font>
    <font>
      <b/>
      <sz val="11"/>
      <color rgb="FFFFFFFF"/>
      <name val="Calibri"/>
    </font>
    <font>
      <b/>
      <sz val="11"/>
      <color rgb="FFFFD700"/>
      <name val="Calibri"/>
    </font>
    <font>
      <b/>
      <sz val="16"/>
      <color rgb="FFFFFFFF"/>
      <name val="Calibri"/>
    </font>
    <font>
      <i/>
      <sz val="9"/>
      <color rgb="FFC77DFF"/>
      <name val="Calibri"/>
    </font>
    <font>
      <b/>
      <sz val="18"/>
      <color rgb="FFFFD700"/>
      <name val="Calibri"/>
    </font>
    <font>
      <b/>
      <sz val="14"/>
      <color rgb="FFFFFFFF"/>
      <name val="Calibri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i/>
      <sz val="18"/>
      <color rgb="FFFFFFFF"/>
      <name val="Calibri"/>
      <family val="2"/>
    </font>
    <font>
      <b/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C1654"/>
      </patternFill>
    </fill>
    <fill>
      <patternFill patternType="solid">
        <fgColor rgb="FF6A0572"/>
      </patternFill>
    </fill>
    <fill>
      <patternFill patternType="solid">
        <fgColor rgb="FFFAF5FF"/>
      </patternFill>
    </fill>
    <fill>
      <patternFill patternType="solid">
        <fgColor rgb="FFC8E6C9"/>
      </patternFill>
    </fill>
    <fill>
      <patternFill patternType="solid">
        <fgColor rgb="FFFFF9C4"/>
      </patternFill>
    </fill>
    <fill>
      <patternFill patternType="solid">
        <fgColor rgb="FFF3E8FF"/>
      </patternFill>
    </fill>
    <fill>
      <patternFill patternType="solid">
        <fgColor rgb="FF1B7A3E"/>
      </patternFill>
    </fill>
    <fill>
      <patternFill patternType="solid">
        <fgColor rgb="FFE65100"/>
      </patternFill>
    </fill>
    <fill>
      <patternFill patternType="solid">
        <fgColor rgb="FF2C6E49"/>
      </patternFill>
    </fill>
    <fill>
      <patternFill patternType="solid">
        <fgColor rgb="FFC0392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64" fontId="10" fillId="7" borderId="1" xfId="0" applyNumberFormat="1" applyFont="1" applyFill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164" fontId="13" fillId="2" borderId="1" xfId="0" applyNumberFormat="1" applyFont="1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165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164" fontId="0" fillId="7" borderId="1" xfId="0" applyNumberForma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18" fillId="7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2" fillId="2" borderId="1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1" fillId="0" borderId="0" xfId="0" applyFont="1"/>
    <xf numFmtId="0" fontId="15" fillId="3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6" fillId="7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3">
    <dxf>
      <font>
        <b/>
        <color rgb="FFC0392B"/>
      </font>
      <fill>
        <patternFill patternType="solid">
          <fgColor rgb="FFFFCDD2"/>
        </patternFill>
      </fill>
    </dxf>
    <dxf>
      <font>
        <b/>
        <color rgb="FFE65100"/>
      </font>
      <fill>
        <patternFill patternType="solid">
          <fgColor rgb="FFFFF9C4"/>
        </patternFill>
      </fill>
    </dxf>
    <dxf>
      <font>
        <b/>
        <color rgb="FF1B7A3E"/>
      </font>
      <fill>
        <patternFill patternType="solid">
          <f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="128" workbookViewId="0">
      <pane ySplit="4" topLeftCell="A12" activePane="bottomLeft" state="frozen"/>
      <selection pane="bottomLeft" activeCell="F22" sqref="F22"/>
    </sheetView>
  </sheetViews>
  <sheetFormatPr baseColWidth="10" defaultColWidth="8.88671875" defaultRowHeight="14.4" x14ac:dyDescent="0.3"/>
  <cols>
    <col min="1" max="1" width="5" customWidth="1"/>
    <col min="2" max="2" width="32" customWidth="1"/>
    <col min="3" max="3" width="20" customWidth="1"/>
    <col min="4" max="4" width="10" customWidth="1"/>
    <col min="5" max="5" width="12" customWidth="1"/>
    <col min="6" max="8" width="14" customWidth="1"/>
    <col min="9" max="9" width="16" customWidth="1"/>
    <col min="10" max="10" width="14" customWidth="1"/>
    <col min="11" max="11" width="22" customWidth="1"/>
  </cols>
  <sheetData>
    <row r="1" spans="1:11" ht="40.049999999999997" customHeight="1" x14ac:dyDescent="0.3">
      <c r="A1" s="51" t="s">
        <v>82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ht="19.95" customHeight="1" x14ac:dyDescent="0.3">
      <c r="A2" s="48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1" ht="7.95" customHeight="1" x14ac:dyDescent="0.3"/>
    <row r="4" spans="1:11" ht="36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t="22.05" customHeight="1" x14ac:dyDescent="0.3">
      <c r="A5" s="2">
        <v>1</v>
      </c>
      <c r="B5" s="3" t="s">
        <v>83</v>
      </c>
      <c r="C5" s="4" t="s">
        <v>111</v>
      </c>
      <c r="D5" s="5" t="s">
        <v>84</v>
      </c>
      <c r="E5" s="6">
        <v>136</v>
      </c>
      <c r="F5" s="7">
        <v>0</v>
      </c>
      <c r="G5" s="8">
        <f t="shared" ref="G5:G24" si="0">IF(E5="","",E5-F5)</f>
        <v>136</v>
      </c>
      <c r="H5" s="9"/>
      <c r="I5" s="10" t="str">
        <f t="shared" ref="I5:I24" si="1">IF(H5="","",F5*H5)</f>
        <v/>
      </c>
      <c r="J5" s="11" t="str">
        <f t="shared" ref="J5:J24" si="2">IF(G5="","—",IF(G5&lt;=0,"❌ SIN STOCK",IF(G5&lt;=3,"⚠️ STOCK BAJO","✅ DISPONIBLE")))</f>
        <v>✅ DISPONIBLE</v>
      </c>
      <c r="K5" s="12"/>
    </row>
    <row r="6" spans="1:11" ht="22.05" customHeight="1" x14ac:dyDescent="0.3">
      <c r="A6" s="13">
        <v>2</v>
      </c>
      <c r="B6" s="14" t="s">
        <v>85</v>
      </c>
      <c r="C6" s="15" t="s">
        <v>111</v>
      </c>
      <c r="D6" s="16" t="s">
        <v>84</v>
      </c>
      <c r="E6" s="6">
        <v>120</v>
      </c>
      <c r="F6" s="7">
        <v>0</v>
      </c>
      <c r="G6" s="17">
        <f>IF(E6="","",E6-F6)</f>
        <v>120</v>
      </c>
      <c r="H6" s="18"/>
      <c r="I6" s="19" t="str">
        <f t="shared" si="1"/>
        <v/>
      </c>
      <c r="J6" s="20" t="str">
        <f t="shared" si="2"/>
        <v>✅ DISPONIBLE</v>
      </c>
      <c r="K6" s="21"/>
    </row>
    <row r="7" spans="1:11" ht="22.05" customHeight="1" x14ac:dyDescent="0.3">
      <c r="A7" s="2">
        <v>3</v>
      </c>
      <c r="B7" s="3" t="s">
        <v>87</v>
      </c>
      <c r="C7" s="4" t="s">
        <v>86</v>
      </c>
      <c r="D7" s="5" t="s">
        <v>88</v>
      </c>
      <c r="E7" s="6">
        <v>28</v>
      </c>
      <c r="F7" s="7">
        <v>0</v>
      </c>
      <c r="G7" s="8">
        <f t="shared" si="0"/>
        <v>28</v>
      </c>
      <c r="H7" s="9"/>
      <c r="I7" s="10" t="str">
        <f t="shared" si="1"/>
        <v/>
      </c>
      <c r="J7" s="11" t="str">
        <f t="shared" si="2"/>
        <v>✅ DISPONIBLE</v>
      </c>
      <c r="K7" s="12"/>
    </row>
    <row r="8" spans="1:11" ht="22.05" customHeight="1" x14ac:dyDescent="0.3">
      <c r="A8" s="13">
        <v>4</v>
      </c>
      <c r="B8" s="14" t="s">
        <v>87</v>
      </c>
      <c r="C8" s="15" t="s">
        <v>95</v>
      </c>
      <c r="D8" s="16" t="s">
        <v>88</v>
      </c>
      <c r="E8" s="6">
        <v>10</v>
      </c>
      <c r="F8" s="7">
        <v>0</v>
      </c>
      <c r="G8" s="17">
        <f t="shared" si="0"/>
        <v>10</v>
      </c>
      <c r="H8" s="18"/>
      <c r="I8" s="19" t="str">
        <f t="shared" si="1"/>
        <v/>
      </c>
      <c r="J8" s="20" t="str">
        <f t="shared" si="2"/>
        <v>✅ DISPONIBLE</v>
      </c>
      <c r="K8" s="21"/>
    </row>
    <row r="9" spans="1:11" ht="22.05" customHeight="1" x14ac:dyDescent="0.3">
      <c r="A9" s="2">
        <v>5</v>
      </c>
      <c r="B9" s="3" t="s">
        <v>89</v>
      </c>
      <c r="C9" s="4"/>
      <c r="D9" s="5" t="s">
        <v>90</v>
      </c>
      <c r="E9" s="6">
        <v>136</v>
      </c>
      <c r="F9" s="7">
        <v>0</v>
      </c>
      <c r="G9" s="8">
        <f t="shared" si="0"/>
        <v>136</v>
      </c>
      <c r="H9" s="9"/>
      <c r="I9" s="10" t="str">
        <f t="shared" si="1"/>
        <v/>
      </c>
      <c r="J9" s="11" t="str">
        <f t="shared" si="2"/>
        <v>✅ DISPONIBLE</v>
      </c>
      <c r="K9" s="12"/>
    </row>
    <row r="10" spans="1:11" ht="22.05" customHeight="1" x14ac:dyDescent="0.3">
      <c r="A10" s="13">
        <v>6</v>
      </c>
      <c r="B10" s="14" t="s">
        <v>96</v>
      </c>
      <c r="C10" s="15" t="s">
        <v>97</v>
      </c>
      <c r="D10" s="16" t="s">
        <v>98</v>
      </c>
      <c r="E10" s="6">
        <v>18</v>
      </c>
      <c r="F10" s="7">
        <v>0</v>
      </c>
      <c r="G10" s="17">
        <f t="shared" si="0"/>
        <v>18</v>
      </c>
      <c r="H10" s="18"/>
      <c r="I10" s="19" t="str">
        <f t="shared" si="1"/>
        <v/>
      </c>
      <c r="J10" s="20" t="str">
        <f t="shared" si="2"/>
        <v>✅ DISPONIBLE</v>
      </c>
      <c r="K10" s="21"/>
    </row>
    <row r="11" spans="1:11" ht="22.05" customHeight="1" x14ac:dyDescent="0.3">
      <c r="A11" s="2">
        <v>7</v>
      </c>
      <c r="B11" s="3" t="s">
        <v>87</v>
      </c>
      <c r="C11" s="4" t="s">
        <v>103</v>
      </c>
      <c r="D11" s="5" t="s">
        <v>84</v>
      </c>
      <c r="E11" s="6">
        <v>37</v>
      </c>
      <c r="F11" s="7">
        <v>0</v>
      </c>
      <c r="G11" s="8">
        <f t="shared" si="0"/>
        <v>37</v>
      </c>
      <c r="H11" s="9"/>
      <c r="I11" s="10" t="str">
        <f t="shared" si="1"/>
        <v/>
      </c>
      <c r="J11" s="11" t="str">
        <f t="shared" si="2"/>
        <v>✅ DISPONIBLE</v>
      </c>
      <c r="K11" s="12"/>
    </row>
    <row r="12" spans="1:11" ht="22.05" customHeight="1" x14ac:dyDescent="0.3">
      <c r="A12" s="13">
        <v>8</v>
      </c>
      <c r="B12" s="14" t="s">
        <v>92</v>
      </c>
      <c r="C12" s="15" t="s">
        <v>91</v>
      </c>
      <c r="D12" s="16" t="s">
        <v>84</v>
      </c>
      <c r="E12" s="6">
        <v>2</v>
      </c>
      <c r="F12" s="7">
        <v>0</v>
      </c>
      <c r="G12" s="17">
        <f t="shared" si="0"/>
        <v>2</v>
      </c>
      <c r="H12" s="18"/>
      <c r="I12" s="19" t="str">
        <f t="shared" si="1"/>
        <v/>
      </c>
      <c r="J12" s="20" t="str">
        <f t="shared" si="2"/>
        <v>⚠️ STOCK BAJO</v>
      </c>
      <c r="K12" s="21"/>
    </row>
    <row r="13" spans="1:11" ht="22.05" customHeight="1" x14ac:dyDescent="0.3">
      <c r="A13" s="2">
        <v>9</v>
      </c>
      <c r="B13" s="3" t="s">
        <v>93</v>
      </c>
      <c r="C13" s="4" t="s">
        <v>94</v>
      </c>
      <c r="D13" s="5" t="s">
        <v>84</v>
      </c>
      <c r="E13" s="6">
        <v>2</v>
      </c>
      <c r="F13" s="7">
        <v>1</v>
      </c>
      <c r="G13" s="8">
        <f t="shared" si="0"/>
        <v>1</v>
      </c>
      <c r="H13" s="9"/>
      <c r="I13" s="10" t="str">
        <f t="shared" si="1"/>
        <v/>
      </c>
      <c r="J13" s="11" t="str">
        <f t="shared" si="2"/>
        <v>⚠️ STOCK BAJO</v>
      </c>
      <c r="K13" s="12"/>
    </row>
    <row r="14" spans="1:11" ht="22.05" customHeight="1" x14ac:dyDescent="0.3">
      <c r="A14" s="13">
        <v>10</v>
      </c>
      <c r="B14" s="43" t="s">
        <v>100</v>
      </c>
      <c r="C14" s="15" t="s">
        <v>99</v>
      </c>
      <c r="D14" s="44" t="s">
        <v>84</v>
      </c>
      <c r="E14" s="6">
        <v>7</v>
      </c>
      <c r="F14" s="7">
        <v>0</v>
      </c>
      <c r="G14" s="17">
        <f t="shared" si="0"/>
        <v>7</v>
      </c>
      <c r="H14" s="18"/>
      <c r="I14" s="19" t="str">
        <f t="shared" si="1"/>
        <v/>
      </c>
      <c r="J14" s="20" t="str">
        <f t="shared" si="2"/>
        <v>✅ DISPONIBLE</v>
      </c>
      <c r="K14" s="21"/>
    </row>
    <row r="15" spans="1:11" ht="22.05" customHeight="1" x14ac:dyDescent="0.3">
      <c r="A15" s="2">
        <v>11</v>
      </c>
      <c r="B15" s="46" t="s">
        <v>102</v>
      </c>
      <c r="C15" s="42" t="s">
        <v>101</v>
      </c>
      <c r="D15" s="45" t="s">
        <v>84</v>
      </c>
      <c r="E15" s="6">
        <v>6</v>
      </c>
      <c r="F15" s="7">
        <v>1</v>
      </c>
      <c r="G15" s="8">
        <f t="shared" si="0"/>
        <v>5</v>
      </c>
      <c r="H15" s="9"/>
      <c r="I15" s="10" t="str">
        <f t="shared" si="1"/>
        <v/>
      </c>
      <c r="J15" s="11" t="str">
        <f t="shared" si="2"/>
        <v>✅ DISPONIBLE</v>
      </c>
      <c r="K15" s="12"/>
    </row>
    <row r="16" spans="1:11" ht="22.05" customHeight="1" x14ac:dyDescent="0.3">
      <c r="A16" s="13">
        <v>12</v>
      </c>
      <c r="B16" s="43" t="s">
        <v>104</v>
      </c>
      <c r="C16" s="15" t="s">
        <v>105</v>
      </c>
      <c r="D16" s="44" t="s">
        <v>88</v>
      </c>
      <c r="E16" s="6">
        <v>5</v>
      </c>
      <c r="F16" s="7">
        <v>0</v>
      </c>
      <c r="G16" s="17">
        <f t="shared" si="0"/>
        <v>5</v>
      </c>
      <c r="H16" s="18"/>
      <c r="I16" s="19" t="str">
        <f t="shared" si="1"/>
        <v/>
      </c>
      <c r="J16" s="20" t="str">
        <f t="shared" si="2"/>
        <v>✅ DISPONIBLE</v>
      </c>
      <c r="K16" s="21"/>
    </row>
    <row r="17" spans="1:11" ht="22.05" customHeight="1" x14ac:dyDescent="0.3">
      <c r="A17" s="2">
        <v>13</v>
      </c>
      <c r="B17" s="46" t="s">
        <v>106</v>
      </c>
      <c r="C17" s="42" t="s">
        <v>105</v>
      </c>
      <c r="D17" s="45" t="s">
        <v>88</v>
      </c>
      <c r="E17" s="6">
        <v>5</v>
      </c>
      <c r="F17" s="7">
        <v>0</v>
      </c>
      <c r="G17" s="8">
        <f t="shared" si="0"/>
        <v>5</v>
      </c>
      <c r="H17" s="9"/>
      <c r="I17" s="10" t="str">
        <f t="shared" si="1"/>
        <v/>
      </c>
      <c r="J17" s="11" t="str">
        <f t="shared" si="2"/>
        <v>✅ DISPONIBLE</v>
      </c>
      <c r="K17" s="12"/>
    </row>
    <row r="18" spans="1:11" ht="22.05" customHeight="1" x14ac:dyDescent="0.3">
      <c r="A18" s="13">
        <v>14</v>
      </c>
      <c r="B18" s="43" t="s">
        <v>107</v>
      </c>
      <c r="C18" s="47"/>
      <c r="D18" s="44" t="s">
        <v>84</v>
      </c>
      <c r="E18" s="6">
        <v>1</v>
      </c>
      <c r="F18" s="7">
        <v>1</v>
      </c>
      <c r="G18" s="17">
        <f t="shared" si="0"/>
        <v>0</v>
      </c>
      <c r="H18" s="18"/>
      <c r="I18" s="19" t="str">
        <f t="shared" si="1"/>
        <v/>
      </c>
      <c r="J18" s="20" t="str">
        <f t="shared" si="2"/>
        <v>❌ SIN STOCK</v>
      </c>
      <c r="K18" s="21"/>
    </row>
    <row r="19" spans="1:11" ht="22.05" customHeight="1" x14ac:dyDescent="0.3">
      <c r="A19" s="2">
        <v>15</v>
      </c>
      <c r="B19" s="46" t="s">
        <v>110</v>
      </c>
      <c r="C19" s="4" t="s">
        <v>108</v>
      </c>
      <c r="D19" s="45" t="s">
        <v>109</v>
      </c>
      <c r="E19" s="6">
        <v>4</v>
      </c>
      <c r="F19" s="7">
        <v>0</v>
      </c>
      <c r="G19" s="8">
        <f t="shared" si="0"/>
        <v>4</v>
      </c>
      <c r="H19" s="9"/>
      <c r="I19" s="10" t="str">
        <f t="shared" si="1"/>
        <v/>
      </c>
      <c r="J19" s="11" t="str">
        <f t="shared" si="2"/>
        <v>✅ DISPONIBLE</v>
      </c>
      <c r="K19" s="12"/>
    </row>
    <row r="20" spans="1:11" ht="22.05" customHeight="1" x14ac:dyDescent="0.3">
      <c r="A20" s="13">
        <v>16</v>
      </c>
      <c r="B20" s="43" t="s">
        <v>112</v>
      </c>
      <c r="C20" s="47" t="s">
        <v>113</v>
      </c>
      <c r="D20" s="44" t="s">
        <v>114</v>
      </c>
      <c r="E20" s="6">
        <v>5</v>
      </c>
      <c r="F20" s="7">
        <v>0</v>
      </c>
      <c r="G20" s="17">
        <f t="shared" si="0"/>
        <v>5</v>
      </c>
      <c r="H20" s="18"/>
      <c r="I20" s="19" t="str">
        <f t="shared" si="1"/>
        <v/>
      </c>
      <c r="J20" s="20" t="str">
        <f t="shared" si="2"/>
        <v>✅ DISPONIBLE</v>
      </c>
      <c r="K20" s="21"/>
    </row>
    <row r="21" spans="1:11" ht="22.05" customHeight="1" x14ac:dyDescent="0.3">
      <c r="A21" s="2">
        <v>17</v>
      </c>
      <c r="B21" s="4" t="s">
        <v>115</v>
      </c>
      <c r="C21" s="4"/>
      <c r="D21" s="5" t="s">
        <v>88</v>
      </c>
      <c r="E21" s="6">
        <v>12</v>
      </c>
      <c r="F21" s="7">
        <v>0</v>
      </c>
      <c r="G21" s="8">
        <f t="shared" si="0"/>
        <v>12</v>
      </c>
      <c r="H21" s="9"/>
      <c r="I21" s="10" t="str">
        <f t="shared" si="1"/>
        <v/>
      </c>
      <c r="J21" s="11" t="str">
        <f t="shared" si="2"/>
        <v>✅ DISPONIBLE</v>
      </c>
      <c r="K21" s="12"/>
    </row>
    <row r="22" spans="1:11" ht="22.05" customHeight="1" x14ac:dyDescent="0.3">
      <c r="A22" s="13">
        <v>18</v>
      </c>
      <c r="B22" s="15"/>
      <c r="C22" s="15"/>
      <c r="D22" s="16"/>
      <c r="E22" s="6"/>
      <c r="F22" s="7"/>
      <c r="G22" s="17" t="str">
        <f t="shared" si="0"/>
        <v/>
      </c>
      <c r="H22" s="18"/>
      <c r="I22" s="19" t="str">
        <f t="shared" si="1"/>
        <v/>
      </c>
      <c r="J22" s="20" t="str">
        <f t="shared" si="2"/>
        <v>—</v>
      </c>
      <c r="K22" s="21"/>
    </row>
    <row r="23" spans="1:11" ht="22.05" customHeight="1" x14ac:dyDescent="0.3">
      <c r="A23" s="2">
        <v>19</v>
      </c>
      <c r="B23" s="4"/>
      <c r="C23" s="4"/>
      <c r="D23" s="5"/>
      <c r="E23" s="6"/>
      <c r="F23" s="7"/>
      <c r="G23" s="8" t="str">
        <f t="shared" si="0"/>
        <v/>
      </c>
      <c r="H23" s="9"/>
      <c r="I23" s="10" t="str">
        <f t="shared" si="1"/>
        <v/>
      </c>
      <c r="J23" s="11" t="str">
        <f t="shared" si="2"/>
        <v>—</v>
      </c>
      <c r="K23" s="12"/>
    </row>
    <row r="24" spans="1:11" ht="22.05" customHeight="1" x14ac:dyDescent="0.3">
      <c r="A24" s="13">
        <v>20</v>
      </c>
      <c r="B24" s="15"/>
      <c r="C24" s="15"/>
      <c r="D24" s="16"/>
      <c r="E24" s="6"/>
      <c r="F24" s="7"/>
      <c r="G24" s="17" t="str">
        <f t="shared" si="0"/>
        <v/>
      </c>
      <c r="H24" s="18"/>
      <c r="I24" s="19" t="str">
        <f t="shared" si="1"/>
        <v/>
      </c>
      <c r="J24" s="20" t="str">
        <f t="shared" si="2"/>
        <v>—</v>
      </c>
      <c r="K24" s="21"/>
    </row>
    <row r="25" spans="1:11" ht="25.95" customHeight="1" x14ac:dyDescent="0.3">
      <c r="A25" s="50" t="s">
        <v>13</v>
      </c>
      <c r="B25" s="49"/>
      <c r="C25" s="49"/>
      <c r="D25" s="49"/>
      <c r="E25" s="22">
        <f>SUM(E5:E24)</f>
        <v>534</v>
      </c>
      <c r="F25" s="22">
        <f>SUM(F5:F24)</f>
        <v>3</v>
      </c>
      <c r="G25" s="22">
        <f>SUM(G5:G24)</f>
        <v>531</v>
      </c>
      <c r="H25" s="23"/>
      <c r="I25" s="24">
        <f>SUM(I5:I24)</f>
        <v>0</v>
      </c>
      <c r="J25" s="23"/>
      <c r="K25" s="23"/>
    </row>
  </sheetData>
  <mergeCells count="3">
    <mergeCell ref="A2:K2"/>
    <mergeCell ref="A25:D25"/>
    <mergeCell ref="A1:K1"/>
  </mergeCells>
  <conditionalFormatting sqref="G5:G24">
    <cfRule type="cellIs" dxfId="2" priority="1" operator="greaterThan">
      <formula>3</formula>
    </cfRule>
    <cfRule type="cellIs" dxfId="1" priority="2" operator="between">
      <formula>1</formula>
      <formula>3</formula>
    </cfRule>
    <cfRule type="cellIs" dxfId="0" priority="3" operator="equal">
      <formula>0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workbookViewId="0">
      <pane ySplit="3" topLeftCell="A4" activePane="bottomLeft" state="frozen"/>
      <selection pane="bottomLeft" sqref="A1:H1"/>
    </sheetView>
  </sheetViews>
  <sheetFormatPr baseColWidth="10" defaultColWidth="8.88671875" defaultRowHeight="14.4" x14ac:dyDescent="0.3"/>
  <cols>
    <col min="1" max="1" width="10" customWidth="1"/>
    <col min="2" max="2" width="14" customWidth="1"/>
    <col min="3" max="3" width="32" customWidth="1"/>
    <col min="4" max="6" width="14" customWidth="1"/>
    <col min="7" max="8" width="22" customWidth="1"/>
  </cols>
  <sheetData>
    <row r="1" spans="1:8" ht="36" customHeight="1" x14ac:dyDescent="0.3">
      <c r="A1" s="54" t="s">
        <v>14</v>
      </c>
      <c r="B1" s="49"/>
      <c r="C1" s="49"/>
      <c r="D1" s="49"/>
      <c r="E1" s="49"/>
      <c r="F1" s="49"/>
      <c r="G1" s="49"/>
      <c r="H1" s="49"/>
    </row>
    <row r="2" spans="1:8" ht="18" customHeight="1" x14ac:dyDescent="0.3">
      <c r="A2" s="53" t="s">
        <v>15</v>
      </c>
      <c r="B2" s="49"/>
      <c r="C2" s="49"/>
      <c r="D2" s="49"/>
      <c r="E2" s="49"/>
      <c r="F2" s="49"/>
      <c r="G2" s="49"/>
      <c r="H2" s="49"/>
    </row>
    <row r="3" spans="1:8" ht="36" customHeight="1" x14ac:dyDescent="0.3">
      <c r="A3" s="1" t="s">
        <v>16</v>
      </c>
      <c r="B3" s="1" t="s">
        <v>17</v>
      </c>
      <c r="C3" s="1" t="s">
        <v>2</v>
      </c>
      <c r="D3" s="1" t="s">
        <v>18</v>
      </c>
      <c r="E3" s="1" t="s">
        <v>8</v>
      </c>
      <c r="F3" s="1" t="s">
        <v>19</v>
      </c>
      <c r="G3" s="1" t="s">
        <v>20</v>
      </c>
      <c r="H3" s="1" t="s">
        <v>11</v>
      </c>
    </row>
    <row r="4" spans="1:8" ht="19.95" customHeight="1" x14ac:dyDescent="0.3">
      <c r="A4" s="2">
        <v>1</v>
      </c>
      <c r="B4" s="25"/>
      <c r="C4" s="26"/>
      <c r="D4" s="7"/>
      <c r="E4" s="27"/>
      <c r="F4" s="28" t="str">
        <f t="shared" ref="F4:F35" si="0">IF(D4="","",D4*E4)</f>
        <v/>
      </c>
      <c r="G4" s="26"/>
      <c r="H4" s="26"/>
    </row>
    <row r="5" spans="1:8" ht="19.95" customHeight="1" x14ac:dyDescent="0.3">
      <c r="A5" s="13">
        <v>2</v>
      </c>
      <c r="B5" s="29"/>
      <c r="C5" s="30"/>
      <c r="D5" s="7"/>
      <c r="E5" s="31"/>
      <c r="F5" s="28" t="str">
        <f t="shared" si="0"/>
        <v/>
      </c>
      <c r="G5" s="30"/>
      <c r="H5" s="30"/>
    </row>
    <row r="6" spans="1:8" ht="19.95" customHeight="1" x14ac:dyDescent="0.3">
      <c r="A6" s="2">
        <v>3</v>
      </c>
      <c r="B6" s="25"/>
      <c r="C6" s="26"/>
      <c r="D6" s="7"/>
      <c r="E6" s="27"/>
      <c r="F6" s="28" t="str">
        <f t="shared" si="0"/>
        <v/>
      </c>
      <c r="G6" s="26"/>
      <c r="H6" s="26"/>
    </row>
    <row r="7" spans="1:8" ht="19.95" customHeight="1" x14ac:dyDescent="0.3">
      <c r="A7" s="13">
        <v>4</v>
      </c>
      <c r="B7" s="29"/>
      <c r="C7" s="30"/>
      <c r="D7" s="7"/>
      <c r="E7" s="31"/>
      <c r="F7" s="28" t="str">
        <f t="shared" si="0"/>
        <v/>
      </c>
      <c r="G7" s="30"/>
      <c r="H7" s="30"/>
    </row>
    <row r="8" spans="1:8" ht="19.95" customHeight="1" x14ac:dyDescent="0.3">
      <c r="A8" s="2">
        <v>5</v>
      </c>
      <c r="B8" s="25"/>
      <c r="C8" s="26"/>
      <c r="D8" s="7"/>
      <c r="E8" s="27"/>
      <c r="F8" s="28" t="str">
        <f t="shared" si="0"/>
        <v/>
      </c>
      <c r="G8" s="26"/>
      <c r="H8" s="26"/>
    </row>
    <row r="9" spans="1:8" ht="19.95" customHeight="1" x14ac:dyDescent="0.3">
      <c r="A9" s="13">
        <v>6</v>
      </c>
      <c r="B9" s="29"/>
      <c r="C9" s="30"/>
      <c r="D9" s="7"/>
      <c r="E9" s="31"/>
      <c r="F9" s="28" t="str">
        <f t="shared" si="0"/>
        <v/>
      </c>
      <c r="G9" s="30"/>
      <c r="H9" s="30"/>
    </row>
    <row r="10" spans="1:8" ht="19.95" customHeight="1" x14ac:dyDescent="0.3">
      <c r="A10" s="2">
        <v>7</v>
      </c>
      <c r="B10" s="25"/>
      <c r="C10" s="26"/>
      <c r="D10" s="7"/>
      <c r="E10" s="27"/>
      <c r="F10" s="28" t="str">
        <f t="shared" si="0"/>
        <v/>
      </c>
      <c r="G10" s="26"/>
      <c r="H10" s="26"/>
    </row>
    <row r="11" spans="1:8" ht="19.95" customHeight="1" x14ac:dyDescent="0.3">
      <c r="A11" s="13">
        <v>8</v>
      </c>
      <c r="B11" s="29"/>
      <c r="C11" s="30"/>
      <c r="D11" s="7"/>
      <c r="E11" s="31"/>
      <c r="F11" s="28" t="str">
        <f t="shared" si="0"/>
        <v/>
      </c>
      <c r="G11" s="30"/>
      <c r="H11" s="30"/>
    </row>
    <row r="12" spans="1:8" ht="19.95" customHeight="1" x14ac:dyDescent="0.3">
      <c r="A12" s="2">
        <v>9</v>
      </c>
      <c r="B12" s="25"/>
      <c r="C12" s="26"/>
      <c r="D12" s="7"/>
      <c r="E12" s="27"/>
      <c r="F12" s="28" t="str">
        <f t="shared" si="0"/>
        <v/>
      </c>
      <c r="G12" s="26"/>
      <c r="H12" s="26"/>
    </row>
    <row r="13" spans="1:8" ht="19.95" customHeight="1" x14ac:dyDescent="0.3">
      <c r="A13" s="13">
        <v>10</v>
      </c>
      <c r="B13" s="29"/>
      <c r="C13" s="30"/>
      <c r="D13" s="7"/>
      <c r="E13" s="31"/>
      <c r="F13" s="28" t="str">
        <f t="shared" si="0"/>
        <v/>
      </c>
      <c r="G13" s="30"/>
      <c r="H13" s="30"/>
    </row>
    <row r="14" spans="1:8" ht="19.95" customHeight="1" x14ac:dyDescent="0.3">
      <c r="A14" s="2">
        <v>11</v>
      </c>
      <c r="B14" s="25"/>
      <c r="C14" s="26"/>
      <c r="D14" s="7"/>
      <c r="E14" s="27"/>
      <c r="F14" s="28" t="str">
        <f t="shared" si="0"/>
        <v/>
      </c>
      <c r="G14" s="26"/>
      <c r="H14" s="26"/>
    </row>
    <row r="15" spans="1:8" ht="19.95" customHeight="1" x14ac:dyDescent="0.3">
      <c r="A15" s="13">
        <v>12</v>
      </c>
      <c r="B15" s="29"/>
      <c r="C15" s="30"/>
      <c r="D15" s="7"/>
      <c r="E15" s="31"/>
      <c r="F15" s="28" t="str">
        <f t="shared" si="0"/>
        <v/>
      </c>
      <c r="G15" s="30"/>
      <c r="H15" s="30"/>
    </row>
    <row r="16" spans="1:8" ht="19.95" customHeight="1" x14ac:dyDescent="0.3">
      <c r="A16" s="2">
        <v>13</v>
      </c>
      <c r="B16" s="25"/>
      <c r="C16" s="26"/>
      <c r="D16" s="7"/>
      <c r="E16" s="27"/>
      <c r="F16" s="28" t="str">
        <f t="shared" si="0"/>
        <v/>
      </c>
      <c r="G16" s="26"/>
      <c r="H16" s="26"/>
    </row>
    <row r="17" spans="1:8" ht="19.95" customHeight="1" x14ac:dyDescent="0.3">
      <c r="A17" s="13">
        <v>14</v>
      </c>
      <c r="B17" s="29"/>
      <c r="C17" s="30"/>
      <c r="D17" s="7"/>
      <c r="E17" s="31"/>
      <c r="F17" s="28" t="str">
        <f t="shared" si="0"/>
        <v/>
      </c>
      <c r="G17" s="30"/>
      <c r="H17" s="30"/>
    </row>
    <row r="18" spans="1:8" ht="19.95" customHeight="1" x14ac:dyDescent="0.3">
      <c r="A18" s="2">
        <v>15</v>
      </c>
      <c r="B18" s="25"/>
      <c r="C18" s="26"/>
      <c r="D18" s="7"/>
      <c r="E18" s="27"/>
      <c r="F18" s="28" t="str">
        <f t="shared" si="0"/>
        <v/>
      </c>
      <c r="G18" s="26"/>
      <c r="H18" s="26"/>
    </row>
    <row r="19" spans="1:8" ht="19.95" customHeight="1" x14ac:dyDescent="0.3">
      <c r="A19" s="13">
        <v>16</v>
      </c>
      <c r="B19" s="29"/>
      <c r="C19" s="30"/>
      <c r="D19" s="7"/>
      <c r="E19" s="31"/>
      <c r="F19" s="28" t="str">
        <f t="shared" si="0"/>
        <v/>
      </c>
      <c r="G19" s="30"/>
      <c r="H19" s="30"/>
    </row>
    <row r="20" spans="1:8" ht="19.95" customHeight="1" x14ac:dyDescent="0.3">
      <c r="A20" s="2">
        <v>17</v>
      </c>
      <c r="B20" s="25"/>
      <c r="C20" s="26"/>
      <c r="D20" s="7"/>
      <c r="E20" s="27"/>
      <c r="F20" s="28" t="str">
        <f t="shared" si="0"/>
        <v/>
      </c>
      <c r="G20" s="26"/>
      <c r="H20" s="26"/>
    </row>
    <row r="21" spans="1:8" ht="19.95" customHeight="1" x14ac:dyDescent="0.3">
      <c r="A21" s="13">
        <v>18</v>
      </c>
      <c r="B21" s="29"/>
      <c r="C21" s="30"/>
      <c r="D21" s="7"/>
      <c r="E21" s="31"/>
      <c r="F21" s="28" t="str">
        <f t="shared" si="0"/>
        <v/>
      </c>
      <c r="G21" s="30"/>
      <c r="H21" s="30"/>
    </row>
    <row r="22" spans="1:8" ht="19.95" customHeight="1" x14ac:dyDescent="0.3">
      <c r="A22" s="2">
        <v>19</v>
      </c>
      <c r="B22" s="25"/>
      <c r="C22" s="26"/>
      <c r="D22" s="7"/>
      <c r="E22" s="27"/>
      <c r="F22" s="28" t="str">
        <f t="shared" si="0"/>
        <v/>
      </c>
      <c r="G22" s="26"/>
      <c r="H22" s="26"/>
    </row>
    <row r="23" spans="1:8" ht="19.95" customHeight="1" x14ac:dyDescent="0.3">
      <c r="A23" s="13">
        <v>20</v>
      </c>
      <c r="B23" s="29"/>
      <c r="C23" s="30"/>
      <c r="D23" s="7"/>
      <c r="E23" s="31"/>
      <c r="F23" s="28" t="str">
        <f t="shared" si="0"/>
        <v/>
      </c>
      <c r="G23" s="30"/>
      <c r="H23" s="30"/>
    </row>
    <row r="24" spans="1:8" ht="19.95" customHeight="1" x14ac:dyDescent="0.3">
      <c r="A24" s="2">
        <v>21</v>
      </c>
      <c r="B24" s="25"/>
      <c r="C24" s="26"/>
      <c r="D24" s="7"/>
      <c r="E24" s="27"/>
      <c r="F24" s="28" t="str">
        <f t="shared" si="0"/>
        <v/>
      </c>
      <c r="G24" s="26"/>
      <c r="H24" s="26"/>
    </row>
    <row r="25" spans="1:8" ht="19.95" customHeight="1" x14ac:dyDescent="0.3">
      <c r="A25" s="13">
        <v>22</v>
      </c>
      <c r="B25" s="29"/>
      <c r="C25" s="30"/>
      <c r="D25" s="7"/>
      <c r="E25" s="31"/>
      <c r="F25" s="28" t="str">
        <f t="shared" si="0"/>
        <v/>
      </c>
      <c r="G25" s="30"/>
      <c r="H25" s="30"/>
    </row>
    <row r="26" spans="1:8" ht="19.95" customHeight="1" x14ac:dyDescent="0.3">
      <c r="A26" s="2">
        <v>23</v>
      </c>
      <c r="B26" s="25"/>
      <c r="C26" s="26"/>
      <c r="D26" s="7"/>
      <c r="E26" s="27"/>
      <c r="F26" s="28" t="str">
        <f t="shared" si="0"/>
        <v/>
      </c>
      <c r="G26" s="26"/>
      <c r="H26" s="26"/>
    </row>
    <row r="27" spans="1:8" ht="19.95" customHeight="1" x14ac:dyDescent="0.3">
      <c r="A27" s="13">
        <v>24</v>
      </c>
      <c r="B27" s="29"/>
      <c r="C27" s="30"/>
      <c r="D27" s="7"/>
      <c r="E27" s="31"/>
      <c r="F27" s="28" t="str">
        <f t="shared" si="0"/>
        <v/>
      </c>
      <c r="G27" s="30"/>
      <c r="H27" s="30"/>
    </row>
    <row r="28" spans="1:8" ht="19.95" customHeight="1" x14ac:dyDescent="0.3">
      <c r="A28" s="2">
        <v>25</v>
      </c>
      <c r="B28" s="25"/>
      <c r="C28" s="26"/>
      <c r="D28" s="7"/>
      <c r="E28" s="27"/>
      <c r="F28" s="28" t="str">
        <f t="shared" si="0"/>
        <v/>
      </c>
      <c r="G28" s="26"/>
      <c r="H28" s="26"/>
    </row>
    <row r="29" spans="1:8" ht="19.95" customHeight="1" x14ac:dyDescent="0.3">
      <c r="A29" s="13">
        <v>26</v>
      </c>
      <c r="B29" s="29"/>
      <c r="C29" s="30"/>
      <c r="D29" s="7"/>
      <c r="E29" s="31"/>
      <c r="F29" s="28" t="str">
        <f t="shared" si="0"/>
        <v/>
      </c>
      <c r="G29" s="30"/>
      <c r="H29" s="30"/>
    </row>
    <row r="30" spans="1:8" ht="19.95" customHeight="1" x14ac:dyDescent="0.3">
      <c r="A30" s="2">
        <v>27</v>
      </c>
      <c r="B30" s="25"/>
      <c r="C30" s="26"/>
      <c r="D30" s="7"/>
      <c r="E30" s="27"/>
      <c r="F30" s="28" t="str">
        <f t="shared" si="0"/>
        <v/>
      </c>
      <c r="G30" s="26"/>
      <c r="H30" s="26"/>
    </row>
    <row r="31" spans="1:8" ht="19.95" customHeight="1" x14ac:dyDescent="0.3">
      <c r="A31" s="13">
        <v>28</v>
      </c>
      <c r="B31" s="29"/>
      <c r="C31" s="30"/>
      <c r="D31" s="7"/>
      <c r="E31" s="31"/>
      <c r="F31" s="28" t="str">
        <f t="shared" si="0"/>
        <v/>
      </c>
      <c r="G31" s="30"/>
      <c r="H31" s="30"/>
    </row>
    <row r="32" spans="1:8" ht="19.95" customHeight="1" x14ac:dyDescent="0.3">
      <c r="A32" s="2">
        <v>29</v>
      </c>
      <c r="B32" s="25"/>
      <c r="C32" s="26"/>
      <c r="D32" s="7"/>
      <c r="E32" s="27"/>
      <c r="F32" s="28" t="str">
        <f t="shared" si="0"/>
        <v/>
      </c>
      <c r="G32" s="26"/>
      <c r="H32" s="26"/>
    </row>
    <row r="33" spans="1:8" ht="19.95" customHeight="1" x14ac:dyDescent="0.3">
      <c r="A33" s="13">
        <v>30</v>
      </c>
      <c r="B33" s="29"/>
      <c r="C33" s="30"/>
      <c r="D33" s="7"/>
      <c r="E33" s="31"/>
      <c r="F33" s="28" t="str">
        <f t="shared" si="0"/>
        <v/>
      </c>
      <c r="G33" s="30"/>
      <c r="H33" s="30"/>
    </row>
    <row r="34" spans="1:8" ht="19.95" customHeight="1" x14ac:dyDescent="0.3">
      <c r="A34" s="2">
        <v>31</v>
      </c>
      <c r="B34" s="25"/>
      <c r="C34" s="26"/>
      <c r="D34" s="7"/>
      <c r="E34" s="27"/>
      <c r="F34" s="28" t="str">
        <f t="shared" si="0"/>
        <v/>
      </c>
      <c r="G34" s="26"/>
      <c r="H34" s="26"/>
    </row>
    <row r="35" spans="1:8" ht="19.95" customHeight="1" x14ac:dyDescent="0.3">
      <c r="A35" s="13">
        <v>32</v>
      </c>
      <c r="B35" s="29"/>
      <c r="C35" s="30"/>
      <c r="D35" s="7"/>
      <c r="E35" s="31"/>
      <c r="F35" s="28" t="str">
        <f t="shared" si="0"/>
        <v/>
      </c>
      <c r="G35" s="30"/>
      <c r="H35" s="30"/>
    </row>
    <row r="36" spans="1:8" ht="19.95" customHeight="1" x14ac:dyDescent="0.3">
      <c r="A36" s="2">
        <v>33</v>
      </c>
      <c r="B36" s="25"/>
      <c r="C36" s="26"/>
      <c r="D36" s="7"/>
      <c r="E36" s="27"/>
      <c r="F36" s="28" t="str">
        <f t="shared" ref="F36:F53" si="1">IF(D36="","",D36*E36)</f>
        <v/>
      </c>
      <c r="G36" s="26"/>
      <c r="H36" s="26"/>
    </row>
    <row r="37" spans="1:8" ht="19.95" customHeight="1" x14ac:dyDescent="0.3">
      <c r="A37" s="13">
        <v>34</v>
      </c>
      <c r="B37" s="29"/>
      <c r="C37" s="30"/>
      <c r="D37" s="7"/>
      <c r="E37" s="31"/>
      <c r="F37" s="28" t="str">
        <f t="shared" si="1"/>
        <v/>
      </c>
      <c r="G37" s="30"/>
      <c r="H37" s="30"/>
    </row>
    <row r="38" spans="1:8" ht="19.95" customHeight="1" x14ac:dyDescent="0.3">
      <c r="A38" s="2">
        <v>35</v>
      </c>
      <c r="B38" s="25"/>
      <c r="C38" s="26"/>
      <c r="D38" s="7"/>
      <c r="E38" s="27"/>
      <c r="F38" s="28" t="str">
        <f t="shared" si="1"/>
        <v/>
      </c>
      <c r="G38" s="26"/>
      <c r="H38" s="26"/>
    </row>
    <row r="39" spans="1:8" ht="19.95" customHeight="1" x14ac:dyDescent="0.3">
      <c r="A39" s="13">
        <v>36</v>
      </c>
      <c r="B39" s="29"/>
      <c r="C39" s="30"/>
      <c r="D39" s="7"/>
      <c r="E39" s="31"/>
      <c r="F39" s="28" t="str">
        <f t="shared" si="1"/>
        <v/>
      </c>
      <c r="G39" s="30"/>
      <c r="H39" s="30"/>
    </row>
    <row r="40" spans="1:8" ht="19.95" customHeight="1" x14ac:dyDescent="0.3">
      <c r="A40" s="2">
        <v>37</v>
      </c>
      <c r="B40" s="25"/>
      <c r="C40" s="26"/>
      <c r="D40" s="7"/>
      <c r="E40" s="27"/>
      <c r="F40" s="28" t="str">
        <f t="shared" si="1"/>
        <v/>
      </c>
      <c r="G40" s="26"/>
      <c r="H40" s="26"/>
    </row>
    <row r="41" spans="1:8" ht="19.95" customHeight="1" x14ac:dyDescent="0.3">
      <c r="A41" s="13">
        <v>38</v>
      </c>
      <c r="B41" s="29"/>
      <c r="C41" s="30"/>
      <c r="D41" s="7"/>
      <c r="E41" s="31"/>
      <c r="F41" s="28" t="str">
        <f t="shared" si="1"/>
        <v/>
      </c>
      <c r="G41" s="30"/>
      <c r="H41" s="30"/>
    </row>
    <row r="42" spans="1:8" ht="19.95" customHeight="1" x14ac:dyDescent="0.3">
      <c r="A42" s="2">
        <v>39</v>
      </c>
      <c r="B42" s="25"/>
      <c r="C42" s="26"/>
      <c r="D42" s="7"/>
      <c r="E42" s="27"/>
      <c r="F42" s="28" t="str">
        <f t="shared" si="1"/>
        <v/>
      </c>
      <c r="G42" s="26"/>
      <c r="H42" s="26"/>
    </row>
    <row r="43" spans="1:8" ht="19.95" customHeight="1" x14ac:dyDescent="0.3">
      <c r="A43" s="13">
        <v>40</v>
      </c>
      <c r="B43" s="29"/>
      <c r="C43" s="30"/>
      <c r="D43" s="7"/>
      <c r="E43" s="31"/>
      <c r="F43" s="28" t="str">
        <f t="shared" si="1"/>
        <v/>
      </c>
      <c r="G43" s="30"/>
      <c r="H43" s="30"/>
    </row>
    <row r="44" spans="1:8" ht="19.95" customHeight="1" x14ac:dyDescent="0.3">
      <c r="A44" s="2">
        <v>41</v>
      </c>
      <c r="B44" s="25"/>
      <c r="C44" s="26"/>
      <c r="D44" s="7"/>
      <c r="E44" s="27"/>
      <c r="F44" s="28" t="str">
        <f t="shared" si="1"/>
        <v/>
      </c>
      <c r="G44" s="26"/>
      <c r="H44" s="26"/>
    </row>
    <row r="45" spans="1:8" ht="19.95" customHeight="1" x14ac:dyDescent="0.3">
      <c r="A45" s="13">
        <v>42</v>
      </c>
      <c r="B45" s="29"/>
      <c r="C45" s="30"/>
      <c r="D45" s="7"/>
      <c r="E45" s="31"/>
      <c r="F45" s="28" t="str">
        <f t="shared" si="1"/>
        <v/>
      </c>
      <c r="G45" s="30"/>
      <c r="H45" s="30"/>
    </row>
    <row r="46" spans="1:8" ht="19.95" customHeight="1" x14ac:dyDescent="0.3">
      <c r="A46" s="2">
        <v>43</v>
      </c>
      <c r="B46" s="25"/>
      <c r="C46" s="26"/>
      <c r="D46" s="7"/>
      <c r="E46" s="27"/>
      <c r="F46" s="28" t="str">
        <f t="shared" si="1"/>
        <v/>
      </c>
      <c r="G46" s="26"/>
      <c r="H46" s="26"/>
    </row>
    <row r="47" spans="1:8" ht="19.95" customHeight="1" x14ac:dyDescent="0.3">
      <c r="A47" s="13">
        <v>44</v>
      </c>
      <c r="B47" s="29"/>
      <c r="C47" s="30"/>
      <c r="D47" s="7"/>
      <c r="E47" s="31"/>
      <c r="F47" s="28" t="str">
        <f t="shared" si="1"/>
        <v/>
      </c>
      <c r="G47" s="30"/>
      <c r="H47" s="30"/>
    </row>
    <row r="48" spans="1:8" ht="19.95" customHeight="1" x14ac:dyDescent="0.3">
      <c r="A48" s="2">
        <v>45</v>
      </c>
      <c r="B48" s="25"/>
      <c r="C48" s="26"/>
      <c r="D48" s="7"/>
      <c r="E48" s="27"/>
      <c r="F48" s="28" t="str">
        <f t="shared" si="1"/>
        <v/>
      </c>
      <c r="G48" s="26"/>
      <c r="H48" s="26"/>
    </row>
    <row r="49" spans="1:8" ht="19.95" customHeight="1" x14ac:dyDescent="0.3">
      <c r="A49" s="13">
        <v>46</v>
      </c>
      <c r="B49" s="29"/>
      <c r="C49" s="30"/>
      <c r="D49" s="7"/>
      <c r="E49" s="31"/>
      <c r="F49" s="28" t="str">
        <f t="shared" si="1"/>
        <v/>
      </c>
      <c r="G49" s="30"/>
      <c r="H49" s="30"/>
    </row>
    <row r="50" spans="1:8" ht="19.95" customHeight="1" x14ac:dyDescent="0.3">
      <c r="A50" s="2">
        <v>47</v>
      </c>
      <c r="B50" s="25"/>
      <c r="C50" s="26"/>
      <c r="D50" s="7"/>
      <c r="E50" s="27"/>
      <c r="F50" s="28" t="str">
        <f t="shared" si="1"/>
        <v/>
      </c>
      <c r="G50" s="26"/>
      <c r="H50" s="26"/>
    </row>
    <row r="51" spans="1:8" ht="19.95" customHeight="1" x14ac:dyDescent="0.3">
      <c r="A51" s="13">
        <v>48</v>
      </c>
      <c r="B51" s="29"/>
      <c r="C51" s="30"/>
      <c r="D51" s="7"/>
      <c r="E51" s="31"/>
      <c r="F51" s="28" t="str">
        <f t="shared" si="1"/>
        <v/>
      </c>
      <c r="G51" s="30"/>
      <c r="H51" s="30"/>
    </row>
    <row r="52" spans="1:8" ht="19.95" customHeight="1" x14ac:dyDescent="0.3">
      <c r="A52" s="2">
        <v>49</v>
      </c>
      <c r="B52" s="25"/>
      <c r="C52" s="26"/>
      <c r="D52" s="7"/>
      <c r="E52" s="27"/>
      <c r="F52" s="28" t="str">
        <f t="shared" si="1"/>
        <v/>
      </c>
      <c r="G52" s="26"/>
      <c r="H52" s="26"/>
    </row>
    <row r="53" spans="1:8" ht="19.95" customHeight="1" x14ac:dyDescent="0.3">
      <c r="A53" s="13">
        <v>50</v>
      </c>
      <c r="B53" s="29"/>
      <c r="C53" s="30"/>
      <c r="D53" s="7"/>
      <c r="E53" s="31"/>
      <c r="F53" s="28" t="str">
        <f t="shared" si="1"/>
        <v/>
      </c>
      <c r="G53" s="30"/>
      <c r="H53" s="30"/>
    </row>
    <row r="54" spans="1:8" ht="25.95" customHeight="1" x14ac:dyDescent="0.3">
      <c r="A54" s="50" t="s">
        <v>21</v>
      </c>
      <c r="B54" s="49"/>
      <c r="C54" s="49"/>
      <c r="D54" s="22">
        <f>SUM(D4:D53)</f>
        <v>0</v>
      </c>
      <c r="E54" s="23"/>
      <c r="F54" s="24">
        <f>SUM(F4:F53)</f>
        <v>0</v>
      </c>
      <c r="G54" s="23"/>
      <c r="H54" s="23"/>
    </row>
  </sheetData>
  <mergeCells count="3">
    <mergeCell ref="A2:H2"/>
    <mergeCell ref="A54:C5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sqref="A1:F1"/>
    </sheetView>
  </sheetViews>
  <sheetFormatPr baseColWidth="10" defaultColWidth="8.88671875" defaultRowHeight="14.4" x14ac:dyDescent="0.3"/>
  <cols>
    <col min="1" max="1" width="3" customWidth="1"/>
    <col min="2" max="2" width="32" customWidth="1"/>
    <col min="3" max="3" width="20" customWidth="1"/>
    <col min="4" max="4" width="3" customWidth="1"/>
    <col min="5" max="5" width="28" customWidth="1"/>
    <col min="6" max="6" width="18" customWidth="1"/>
  </cols>
  <sheetData>
    <row r="1" spans="1:6" ht="36" customHeight="1" x14ac:dyDescent="0.3">
      <c r="A1" s="54" t="s">
        <v>22</v>
      </c>
      <c r="B1" s="49"/>
      <c r="C1" s="49"/>
      <c r="D1" s="49"/>
      <c r="E1" s="49"/>
      <c r="F1" s="49"/>
    </row>
    <row r="3" spans="1:6" ht="28.05" customHeight="1" x14ac:dyDescent="0.3">
      <c r="B3" s="1" t="s">
        <v>23</v>
      </c>
      <c r="C3" s="32">
        <f>COUNTA('📦 Inventario'!B5:B24)</f>
        <v>17</v>
      </c>
      <c r="E3" s="58" t="s">
        <v>24</v>
      </c>
      <c r="F3" s="49"/>
    </row>
    <row r="4" spans="1:6" ht="22.05" customHeight="1" x14ac:dyDescent="0.3">
      <c r="E4" s="57" t="s">
        <v>25</v>
      </c>
      <c r="F4" s="56"/>
    </row>
    <row r="5" spans="1:6" ht="22.05" customHeight="1" x14ac:dyDescent="0.3">
      <c r="B5" s="33" t="s">
        <v>26</v>
      </c>
      <c r="C5" s="34">
        <f>SUM('📦 Inventario'!G5:G24)</f>
        <v>531</v>
      </c>
      <c r="E5" s="55" t="s">
        <v>27</v>
      </c>
      <c r="F5" s="56"/>
    </row>
    <row r="6" spans="1:6" ht="22.05" customHeight="1" x14ac:dyDescent="0.3">
      <c r="E6" s="57" t="s">
        <v>28</v>
      </c>
      <c r="F6" s="56"/>
    </row>
    <row r="7" spans="1:6" ht="22.05" customHeight="1" x14ac:dyDescent="0.3">
      <c r="B7" s="35" t="s">
        <v>29</v>
      </c>
      <c r="C7" s="36">
        <f>SUM('📦 Inventario'!F5:F24)</f>
        <v>3</v>
      </c>
      <c r="E7" s="55" t="s">
        <v>30</v>
      </c>
      <c r="F7" s="56"/>
    </row>
    <row r="8" spans="1:6" ht="22.05" customHeight="1" x14ac:dyDescent="0.3">
      <c r="E8" s="57" t="s">
        <v>31</v>
      </c>
      <c r="F8" s="56"/>
    </row>
    <row r="9" spans="1:6" ht="22.05" customHeight="1" x14ac:dyDescent="0.3">
      <c r="B9" s="37" t="s">
        <v>32</v>
      </c>
      <c r="C9" s="38">
        <f>SUM('📦 Inventario'!I5:I24)</f>
        <v>0</v>
      </c>
      <c r="E9" s="55" t="s">
        <v>33</v>
      </c>
      <c r="F9" s="56"/>
    </row>
    <row r="10" spans="1:6" ht="22.05" customHeight="1" x14ac:dyDescent="0.3">
      <c r="E10" s="57" t="s">
        <v>34</v>
      </c>
      <c r="F10" s="56"/>
    </row>
    <row r="11" spans="1:6" ht="22.05" customHeight="1" x14ac:dyDescent="0.3">
      <c r="B11" s="39" t="s">
        <v>35</v>
      </c>
      <c r="C11" s="40">
        <f>COUNTIF('📦 Inventario'!G5:G24,0)</f>
        <v>1</v>
      </c>
      <c r="E11" s="55" t="s">
        <v>36</v>
      </c>
      <c r="F11" s="56"/>
    </row>
    <row r="12" spans="1:6" ht="22.05" customHeight="1" x14ac:dyDescent="0.3">
      <c r="E12" s="57" t="s">
        <v>37</v>
      </c>
      <c r="F12" s="56"/>
    </row>
    <row r="13" spans="1:6" ht="22.05" customHeight="1" x14ac:dyDescent="0.3">
      <c r="B13" s="35" t="s">
        <v>38</v>
      </c>
      <c r="C13" s="36">
        <f>COUNTIFS('📦 Inventario'!G5:G24,"&lt;=3",'📦 Inventario'!G5:G24,"&gt;0")</f>
        <v>2</v>
      </c>
      <c r="E13" s="55" t="s">
        <v>39</v>
      </c>
      <c r="F13" s="56"/>
    </row>
  </sheetData>
  <mergeCells count="12">
    <mergeCell ref="A1:F1"/>
    <mergeCell ref="E11:F11"/>
    <mergeCell ref="E5:F5"/>
    <mergeCell ref="E13:F13"/>
    <mergeCell ref="E9:F9"/>
    <mergeCell ref="E8:F8"/>
    <mergeCell ref="E3:F3"/>
    <mergeCell ref="E12:F12"/>
    <mergeCell ref="E4:F4"/>
    <mergeCell ref="E6:F6"/>
    <mergeCell ref="E7:F7"/>
    <mergeCell ref="E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selection sqref="A1:C1"/>
    </sheetView>
  </sheetViews>
  <sheetFormatPr baseColWidth="10" defaultColWidth="8.88671875" defaultRowHeight="14.4" x14ac:dyDescent="0.3"/>
  <cols>
    <col min="1" max="1" width="22" customWidth="1"/>
    <col min="2" max="2" width="38" customWidth="1"/>
    <col min="3" max="3" width="32" customWidth="1"/>
  </cols>
  <sheetData>
    <row r="1" spans="1:3" ht="31.95" customHeight="1" x14ac:dyDescent="0.3">
      <c r="A1" s="59" t="s">
        <v>40</v>
      </c>
      <c r="B1" s="49"/>
      <c r="C1" s="49"/>
    </row>
    <row r="2" spans="1:3" ht="22.05" customHeight="1" x14ac:dyDescent="0.3">
      <c r="A2" s="1" t="s">
        <v>41</v>
      </c>
      <c r="B2" s="41" t="s">
        <v>42</v>
      </c>
      <c r="C2" s="41" t="s">
        <v>43</v>
      </c>
    </row>
    <row r="3" spans="1:3" ht="22.05" customHeight="1" x14ac:dyDescent="0.3">
      <c r="A3" s="5" t="s">
        <v>44</v>
      </c>
      <c r="B3" s="4" t="s">
        <v>45</v>
      </c>
      <c r="C3" s="4" t="s">
        <v>46</v>
      </c>
    </row>
    <row r="4" spans="1:3" ht="22.05" customHeight="1" x14ac:dyDescent="0.3">
      <c r="A4" s="16" t="s">
        <v>47</v>
      </c>
      <c r="B4" s="15" t="s">
        <v>48</v>
      </c>
      <c r="C4" s="15" t="s">
        <v>49</v>
      </c>
    </row>
    <row r="5" spans="1:3" ht="22.05" customHeight="1" x14ac:dyDescent="0.3">
      <c r="A5" s="5" t="s">
        <v>12</v>
      </c>
      <c r="B5" s="4" t="s">
        <v>50</v>
      </c>
      <c r="C5" s="4" t="s">
        <v>51</v>
      </c>
    </row>
    <row r="6" spans="1:3" ht="22.05" customHeight="1" x14ac:dyDescent="0.3">
      <c r="A6" s="16" t="s">
        <v>52</v>
      </c>
      <c r="B6" s="15" t="s">
        <v>53</v>
      </c>
      <c r="C6" s="15" t="s">
        <v>54</v>
      </c>
    </row>
    <row r="7" spans="1:3" ht="22.05" customHeight="1" x14ac:dyDescent="0.3">
      <c r="A7" s="5" t="s">
        <v>55</v>
      </c>
      <c r="B7" s="4" t="s">
        <v>56</v>
      </c>
      <c r="C7" s="4" t="s">
        <v>57</v>
      </c>
    </row>
    <row r="8" spans="1:3" ht="22.05" customHeight="1" x14ac:dyDescent="0.3">
      <c r="A8" s="16" t="s">
        <v>58</v>
      </c>
      <c r="B8" s="15" t="s">
        <v>59</v>
      </c>
      <c r="C8" s="15" t="s">
        <v>60</v>
      </c>
    </row>
    <row r="9" spans="1:3" ht="22.05" customHeight="1" x14ac:dyDescent="0.3">
      <c r="A9" s="5" t="s">
        <v>61</v>
      </c>
      <c r="B9" s="4" t="s">
        <v>62</v>
      </c>
      <c r="C9" s="4" t="s">
        <v>63</v>
      </c>
    </row>
    <row r="10" spans="1:3" ht="22.05" customHeight="1" x14ac:dyDescent="0.3">
      <c r="A10" s="16" t="s">
        <v>64</v>
      </c>
      <c r="B10" s="15" t="s">
        <v>65</v>
      </c>
      <c r="C10" s="15" t="s">
        <v>66</v>
      </c>
    </row>
    <row r="11" spans="1:3" ht="22.05" customHeight="1" x14ac:dyDescent="0.3">
      <c r="A11" s="5" t="s">
        <v>67</v>
      </c>
      <c r="B11" s="4" t="s">
        <v>68</v>
      </c>
      <c r="C11" s="4" t="s">
        <v>69</v>
      </c>
    </row>
    <row r="12" spans="1:3" ht="22.05" customHeight="1" x14ac:dyDescent="0.3">
      <c r="A12" s="16" t="s">
        <v>70</v>
      </c>
      <c r="B12" s="15" t="s">
        <v>71</v>
      </c>
      <c r="C12" s="15" t="s">
        <v>72</v>
      </c>
    </row>
    <row r="13" spans="1:3" ht="22.05" customHeight="1" x14ac:dyDescent="0.3">
      <c r="A13" s="5" t="s">
        <v>73</v>
      </c>
      <c r="B13" s="4" t="s">
        <v>74</v>
      </c>
      <c r="C13" s="4" t="s">
        <v>75</v>
      </c>
    </row>
    <row r="14" spans="1:3" ht="22.05" customHeight="1" x14ac:dyDescent="0.3">
      <c r="A14" s="16" t="s">
        <v>76</v>
      </c>
      <c r="B14" s="15" t="s">
        <v>77</v>
      </c>
      <c r="C14" s="15" t="s">
        <v>78</v>
      </c>
    </row>
    <row r="15" spans="1:3" ht="22.05" customHeight="1" x14ac:dyDescent="0.3">
      <c r="A15" s="5" t="s">
        <v>79</v>
      </c>
      <c r="B15" s="4" t="s">
        <v>80</v>
      </c>
      <c r="C15" s="4" t="s">
        <v>81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📦 Inventario</vt:lpstr>
      <vt:lpstr>🛒 Registro de Ventas</vt:lpstr>
      <vt:lpstr>📊 Resumen</vt:lpstr>
      <vt:lpstr>🌺 Familias Olfativas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Katherine Escobar</cp:lastModifiedBy>
  <dcterms:created xsi:type="dcterms:W3CDTF">2026-05-27T12:51:33Z</dcterms:created>
  <dcterms:modified xsi:type="dcterms:W3CDTF">2026-08-04T19:09:04Z</dcterms:modified>
</cp:coreProperties>
</file>